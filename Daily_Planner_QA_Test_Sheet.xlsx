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Results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Excel Day Detai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B56F86"/>
      <sz val="16"/>
    </font>
  </fonts>
  <fills count="6">
    <fill>
      <patternFill/>
    </fill>
    <fill>
      <patternFill patternType="gray125"/>
    </fill>
    <fill>
      <patternFill patternType="solid">
        <fgColor rgb="00B56F86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pane="bottomLeft" activeCell="A1" sqref="A1"/>
    </sheetView>
  </sheetViews>
  <sheetFormatPr baseColWidth="8" defaultRowHeight="15"/>
  <cols>
    <col width="42" customWidth="1" min="1" max="1"/>
    <col width="80" customWidth="1" min="2" max="2"/>
    <col width="61" customWidth="1" min="3" max="3"/>
    <col width="80" customWidth="1" min="4" max="4"/>
  </cols>
  <sheetData>
    <row r="1">
      <c r="A1" s="1" t="inlineStr">
        <is>
          <t>BloomPlansCo Daily Planner QA Test Sheet</t>
        </is>
      </c>
    </row>
    <row r="2">
      <c r="A2" s="2" t="inlineStr">
        <is>
          <t>Generated</t>
        </is>
      </c>
      <c r="B2" s="2" t="inlineStr">
        <is>
          <t>2026-06-12 12:10:14</t>
        </is>
      </c>
      <c r="C2" s="2" t="n"/>
      <c r="D2" s="2" t="n"/>
    </row>
    <row r="3">
      <c r="A3" s="2" t="n"/>
      <c r="B3" s="2" t="n"/>
      <c r="C3" s="2" t="n"/>
      <c r="D3" s="2" t="n"/>
    </row>
    <row r="4">
      <c r="A4" s="2" t="inlineStr">
        <is>
          <t>Status</t>
        </is>
      </c>
      <c r="B4" s="2" t="inlineStr">
        <is>
          <t>Count</t>
        </is>
      </c>
      <c r="C4" s="2" t="n"/>
      <c r="D4" s="2" t="n"/>
    </row>
    <row r="5">
      <c r="A5" s="3" t="inlineStr">
        <is>
          <t>PASS</t>
        </is>
      </c>
      <c r="B5" s="2" t="n">
        <v>90</v>
      </c>
      <c r="C5" s="2" t="n"/>
      <c r="D5" s="2" t="n"/>
    </row>
    <row r="6">
      <c r="A6" s="4" t="inlineStr">
        <is>
          <t>WARN</t>
        </is>
      </c>
      <c r="B6" s="2" t="n">
        <v>4</v>
      </c>
      <c r="C6" s="2" t="n"/>
      <c r="D6" s="2" t="n"/>
    </row>
    <row r="7">
      <c r="A7" s="5" t="inlineStr">
        <is>
          <t>FAIL</t>
        </is>
      </c>
      <c r="B7" s="2" t="n">
        <v>0</v>
      </c>
      <c r="C7" s="2" t="n"/>
      <c r="D7" s="2" t="n"/>
    </row>
    <row r="8">
      <c r="A8" s="2" t="n"/>
      <c r="B8" s="2" t="n"/>
      <c r="C8" s="2" t="n"/>
      <c r="D8" s="2" t="n"/>
    </row>
    <row r="9">
      <c r="A9" s="2" t="inlineStr">
        <is>
          <t>Scope</t>
        </is>
      </c>
      <c r="B9" s="2" t="inlineStr">
        <is>
          <t>Notion markdown templates, sellable Excel workbook, local Google Sheets archive reference, and Apps Script syntax/idempotency checks.</t>
        </is>
      </c>
      <c r="C9" s="2" t="n"/>
      <c r="D9" s="2" t="n"/>
    </row>
    <row r="10">
      <c r="A10" s="2" t="n"/>
      <c r="B10" s="2" t="n"/>
      <c r="C10" s="2" t="n"/>
      <c r="D10" s="2" t="n"/>
    </row>
    <row r="11">
      <c r="A11" s="2" t="inlineStr">
        <is>
          <t>Top findings</t>
        </is>
      </c>
      <c r="B11" s="2" t="n"/>
      <c r="C11" s="2" t="n"/>
      <c r="D11" s="2" t="n"/>
    </row>
    <row r="12">
      <c r="A12" s="2" t="inlineStr">
        <is>
          <t>Medium</t>
        </is>
      </c>
      <c r="B12" s="2" t="inlineStr">
        <is>
          <t>Excel day tabs</t>
        </is>
      </c>
      <c r="C12" s="2" t="inlineStr">
        <is>
          <t>Monday: C3/F3 data validations present</t>
        </is>
      </c>
      <c r="D12" s="2" t="inlineStr">
        <is>
          <t>Monday has no C3/F3 data validations while Tuesday-Sunday do. This also exists in v9/v10 archives, so it was pre-existing.</t>
        </is>
      </c>
    </row>
    <row r="13">
      <c r="A13" s="2" t="inlineStr">
        <is>
          <t>Medium</t>
        </is>
      </c>
      <c r="B13" s="2" t="inlineStr">
        <is>
          <t>Google Sheets archive</t>
        </is>
      </c>
      <c r="C13" s="2" t="inlineStr">
        <is>
          <t>v9 archive reflects unpatched live-sheet structure</t>
        </is>
      </c>
      <c r="D13" s="2" t="inlineStr">
        <is>
          <t>Old wording hits: [('How to Use', 'B21', '  2.  Schedule (6 AM – 9 PM)')]; gratitude states (has4, has5): [('Monday', True, False), ('Tuesday', True, False), ('Wednesday', True, False), ('Thursday', True, False), ('Friday', True, False), ('Saturday', True, False), ('Sunday', True, False)]. Owner still needs to run Apps Script in live Google Sheet.</t>
        </is>
      </c>
    </row>
    <row r="14">
      <c r="A14" s="2" t="inlineStr">
        <is>
          <t>Low</t>
        </is>
      </c>
      <c r="B14" s="2" t="inlineStr">
        <is>
          <t>Cross-version consistency</t>
        </is>
      </c>
      <c r="C14" s="2" t="inlineStr">
        <is>
          <t>No social media habit label matches across Excel and Notion</t>
        </is>
      </c>
      <c r="D14" s="2" t="inlineStr">
        <is>
          <t>Excel uses "No social media 1hr" while Notion uses "No social media 1 hr". Meaning is clear, but marketplace products should use identical copy.</t>
        </is>
      </c>
    </row>
    <row r="15">
      <c r="A15" s="2" t="inlineStr">
        <is>
          <t>Low</t>
        </is>
      </c>
      <c r="B15" s="2" t="inlineStr">
        <is>
          <t>Notion monthly</t>
        </is>
      </c>
      <c r="C15" s="2" t="inlineStr">
        <is>
          <t>Potential 5-week month support</t>
        </is>
      </c>
      <c r="D15" s="2" t="inlineStr">
        <is>
          <t>Only Week 1-4 rows are present; many months span 5 calendar weeks. Consider adding Week 5 if the product promises full-month coverage.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61" customWidth="1" min="2" max="2"/>
    <col width="12" customWidth="1" min="3" max="3"/>
    <col width="12" customWidth="1" min="4" max="4"/>
    <col width="80" customWidth="1" min="5" max="5"/>
  </cols>
  <sheetData>
    <row r="1">
      <c r="A1" s="6" t="inlineStr">
        <is>
          <t>Area</t>
        </is>
      </c>
      <c r="B1" s="6" t="inlineStr">
        <is>
          <t>Test</t>
        </is>
      </c>
      <c r="C1" s="6" t="inlineStr">
        <is>
          <t>Status</t>
        </is>
      </c>
      <c r="D1" s="6" t="inlineStr">
        <is>
          <t>Severity</t>
        </is>
      </c>
      <c r="E1" s="6" t="inlineStr">
        <is>
          <t>Details</t>
        </is>
      </c>
    </row>
    <row r="2">
      <c r="A2" s="2" t="inlineStr">
        <is>
          <t>Excel</t>
        </is>
      </c>
      <c r="B2" s="2" t="inlineStr">
        <is>
          <t>Workbook opens</t>
        </is>
      </c>
      <c r="C2" s="3" t="inlineStr">
        <is>
          <t>PASS</t>
        </is>
      </c>
      <c r="D2" s="2" t="inlineStr"/>
      <c r="E2" s="2" t="inlineStr">
        <is>
          <t>C:\Users\Charles\Documents\dwm\BloomPlansCo\Daily Planner\Daily_Planner_Tracker_Excel.xlsx</t>
        </is>
      </c>
    </row>
    <row r="3">
      <c r="A3" s="2" t="inlineStr">
        <is>
          <t>Excel</t>
        </is>
      </c>
      <c r="B3" s="2" t="inlineStr">
        <is>
          <t>Sheet list matches expected structure</t>
        </is>
      </c>
      <c r="C3" s="3" t="inlineStr">
        <is>
          <t>PASS</t>
        </is>
      </c>
      <c r="D3" s="2" t="inlineStr">
        <is>
          <t>High</t>
        </is>
      </c>
      <c r="E3" s="2" t="inlineStr">
        <is>
          <t>Found: ['How to Use', 'Monday', 'Tuesday', 'Wednesday', 'Thursday', 'Friday', 'Saturday', 'Sunday', 'Weekly Summary', 'Monthly Dashboard']</t>
        </is>
      </c>
    </row>
    <row r="4">
      <c r="A4" s="2" t="inlineStr">
        <is>
          <t>Excel</t>
        </is>
      </c>
      <c r="B4" s="2" t="inlineStr">
        <is>
          <t>Old schedule wording removed everywhere</t>
        </is>
      </c>
      <c r="C4" s="3" t="inlineStr">
        <is>
          <t>PASS</t>
        </is>
      </c>
      <c r="D4" s="2" t="inlineStr">
        <is>
          <t>High</t>
        </is>
      </c>
      <c r="E4" s="2" t="inlineStr">
        <is>
          <t>[]</t>
        </is>
      </c>
    </row>
    <row r="5">
      <c r="A5" s="2" t="inlineStr">
        <is>
          <t>Excel</t>
        </is>
      </c>
      <c r="B5" s="2" t="inlineStr">
        <is>
          <t>New schedule wording appears exactly once on How to Use</t>
        </is>
      </c>
      <c r="C5" s="3" t="inlineStr">
        <is>
          <t>PASS</t>
        </is>
      </c>
      <c r="D5" s="2" t="inlineStr">
        <is>
          <t>High</t>
        </is>
      </c>
      <c r="E5" s="2" t="inlineStr">
        <is>
          <t>[('How to Use', 'B21', '  2.  Schedule (24-hour)')]</t>
        </is>
      </c>
    </row>
    <row r="6">
      <c r="A6" s="2" t="inlineStr">
        <is>
          <t>Excel</t>
        </is>
      </c>
      <c r="B6" s="2" t="inlineStr">
        <is>
          <t>How to Use!E1 data validation preserved</t>
        </is>
      </c>
      <c r="C6" s="3" t="inlineStr">
        <is>
          <t>PASS</t>
        </is>
      </c>
      <c r="D6" s="2" t="inlineStr">
        <is>
          <t>High</t>
        </is>
      </c>
      <c r="E6" s="2" t="inlineStr">
        <is>
          <t>Data validations: ['E1']</t>
        </is>
      </c>
    </row>
    <row r="7">
      <c r="A7" s="2" t="inlineStr">
        <is>
          <t>Excel</t>
        </is>
      </c>
      <c r="B7" s="2" t="inlineStr">
        <is>
          <t>How to Use!E1 pink-button fill preserved</t>
        </is>
      </c>
      <c r="C7" s="3" t="inlineStr">
        <is>
          <t>PASS</t>
        </is>
      </c>
      <c r="D7" s="2" t="inlineStr">
        <is>
          <t>Low</t>
        </is>
      </c>
      <c r="E7" s="2" t="inlineStr">
        <is>
          <t>Fill: FFF8C8D6</t>
        </is>
      </c>
    </row>
    <row r="8">
      <c r="A8" s="2" t="inlineStr">
        <is>
          <t>Excel</t>
        </is>
      </c>
      <c r="B8" s="2" t="inlineStr">
        <is>
          <t>How to Use wording cell is B21</t>
        </is>
      </c>
      <c r="C8" s="3" t="inlineStr">
        <is>
          <t>PASS</t>
        </is>
      </c>
      <c r="D8" s="2" t="inlineStr">
        <is>
          <t>Low</t>
        </is>
      </c>
      <c r="E8" s="2" t="inlineStr">
        <is>
          <t>[('How to Use', 'B21', '  2.  Schedule (24-hour)')]</t>
        </is>
      </c>
    </row>
    <row r="9">
      <c r="A9" s="2" t="inlineStr">
        <is>
          <t>Excel day tabs</t>
        </is>
      </c>
      <c r="B9" s="2" t="inlineStr">
        <is>
          <t>Monday: gratitude labels 1-5 consecutive</t>
        </is>
      </c>
      <c r="C9" s="3" t="inlineStr">
        <is>
          <t>PASS</t>
        </is>
      </c>
      <c r="D9" s="2" t="inlineStr"/>
      <c r="E9" s="2" t="inlineStr">
        <is>
          <t>A48:A52 = [1, 2, 3, 4, 5]</t>
        </is>
      </c>
    </row>
    <row r="10">
      <c r="A10" s="2" t="inlineStr">
        <is>
          <t>Excel day tabs</t>
        </is>
      </c>
      <c r="B10" s="2" t="inlineStr">
        <is>
          <t>Monday: row 5 height matches row 4</t>
        </is>
      </c>
      <c r="C10" s="3" t="inlineStr">
        <is>
          <t>PASS</t>
        </is>
      </c>
      <c r="D10" s="2" t="inlineStr">
        <is>
          <t>Medium</t>
        </is>
      </c>
      <c r="E10" s="2" t="inlineStr">
        <is>
          <t>Row 51: 15.0; row 52: 15.0</t>
        </is>
      </c>
    </row>
    <row r="11">
      <c r="A11" s="2" t="inlineStr">
        <is>
          <t>Excel day tabs</t>
        </is>
      </c>
      <c r="B11" s="2" t="inlineStr">
        <is>
          <t>Monday: row 5 style IDs mirror row 4</t>
        </is>
      </c>
      <c r="C11" s="3" t="inlineStr">
        <is>
          <t>PASS</t>
        </is>
      </c>
      <c r="D11" s="2" t="inlineStr">
        <is>
          <t>Medium</t>
        </is>
      </c>
      <c r="E11" s="2" t="inlineStr">
        <is>
          <t>Row 51: [70, 70, 126, 126, 126, 63, 63, 63, 75, 126, 126, 126, 126, 126, 126, 126, 126, 126, 126, 126, 126, 126, 126, 126]; row 52: [70, 70, 126, 126, 126, 63, 63, 63, 75, 126, 126, 126, 126, 126, 126, 126, 126, 126, 126, 126, 126, 126, 126, 126]</t>
        </is>
      </c>
    </row>
    <row r="12">
      <c r="A12" s="2" t="inlineStr">
        <is>
          <t>Excel day tabs</t>
        </is>
      </c>
      <c r="B12" s="2" t="inlineStr">
        <is>
          <t>Monday: row 5 merge pattern mirrors row 4</t>
        </is>
      </c>
      <c r="C12" s="3" t="inlineStr">
        <is>
          <t>PASS</t>
        </is>
      </c>
      <c r="D12" s="2" t="inlineStr">
        <is>
          <t>Medium</t>
        </is>
      </c>
      <c r="E12" s="2" t="inlineStr">
        <is>
          <t>Row4: [(2, 5)]; Row5: [(2, 5)]</t>
        </is>
      </c>
    </row>
    <row r="13">
      <c r="A13" s="2" t="inlineStr">
        <is>
          <t>Excel day tabs</t>
        </is>
      </c>
      <c r="B13" s="2" t="inlineStr">
        <is>
          <t>Monday: C3 date formula unchanged</t>
        </is>
      </c>
      <c r="C13" s="3" t="inlineStr">
        <is>
          <t>PASS</t>
        </is>
      </c>
      <c r="D13" s="2" t="inlineStr">
        <is>
          <t>High</t>
        </is>
      </c>
      <c r="E13" s="2" t="inlineStr">
        <is>
          <t>C3="='How to Use'!E1 - WEEKDAY('How to Use'!E1, 3)"</t>
        </is>
      </c>
    </row>
    <row r="14">
      <c r="A14" s="2" t="inlineStr">
        <is>
          <t>Excel day tabs</t>
        </is>
      </c>
      <c r="B14" s="2" t="inlineStr">
        <is>
          <t>Monday: 24-hour schedule present</t>
        </is>
      </c>
      <c r="C14" s="3" t="inlineStr">
        <is>
          <t>PASS</t>
        </is>
      </c>
      <c r="D14" s="2" t="inlineStr">
        <is>
          <t>High</t>
        </is>
      </c>
      <c r="E14" s="2" t="inlineStr">
        <is>
          <t>Matches: [(7, 4, 'time-values')]</t>
        </is>
      </c>
    </row>
    <row r="15">
      <c r="A15" s="2" t="inlineStr">
        <is>
          <t>Excel day tabs</t>
        </is>
      </c>
      <c r="B15" s="2" t="inlineStr">
        <is>
          <t>Monday: C3/F3 data validations present</t>
        </is>
      </c>
      <c r="C15" s="4" t="inlineStr">
        <is>
          <t>WARN</t>
        </is>
      </c>
      <c r="D15" s="2" t="inlineStr">
        <is>
          <t>Medium</t>
        </is>
      </c>
      <c r="E15" s="2" t="inlineStr">
        <is>
          <t>Monday has no C3/F3 data validations while Tuesday-Sunday do. This also exists in v9/v10 archives, so it was pre-existing.</t>
        </is>
      </c>
    </row>
    <row r="16">
      <c r="A16" s="2" t="inlineStr">
        <is>
          <t>Excel day tabs</t>
        </is>
      </c>
      <c r="B16" s="2" t="inlineStr">
        <is>
          <t>Tuesday: gratitude labels 1-5 consecutive</t>
        </is>
      </c>
      <c r="C16" s="3" t="inlineStr">
        <is>
          <t>PASS</t>
        </is>
      </c>
      <c r="D16" s="2" t="inlineStr"/>
      <c r="E16" s="2" t="inlineStr">
        <is>
          <t>A48:A52 = [1, 2, 3, 4, 5]</t>
        </is>
      </c>
    </row>
    <row r="17">
      <c r="A17" s="2" t="inlineStr">
        <is>
          <t>Excel day tabs</t>
        </is>
      </c>
      <c r="B17" s="2" t="inlineStr">
        <is>
          <t>Tuesday: row 5 height matches row 4</t>
        </is>
      </c>
      <c r="C17" s="3" t="inlineStr">
        <is>
          <t>PASS</t>
        </is>
      </c>
      <c r="D17" s="2" t="inlineStr">
        <is>
          <t>Medium</t>
        </is>
      </c>
      <c r="E17" s="2" t="inlineStr">
        <is>
          <t>Row 51: 15.0; row 52: 15.0</t>
        </is>
      </c>
    </row>
    <row r="18">
      <c r="A18" s="2" t="inlineStr">
        <is>
          <t>Excel day tabs</t>
        </is>
      </c>
      <c r="B18" s="2" t="inlineStr">
        <is>
          <t>Tuesday: row 5 style IDs mirror row 4</t>
        </is>
      </c>
      <c r="C18" s="3" t="inlineStr">
        <is>
          <t>PASS</t>
        </is>
      </c>
      <c r="D18" s="2" t="inlineStr">
        <is>
          <t>Medium</t>
        </is>
      </c>
      <c r="E18" s="2" t="inlineStr">
        <is>
          <t>Row 51: [70, 70, 126, 126, 126, 63, 63, 63, 75, 126, 126, 126, 126, 126, 126, 126, 126, 126, 126, 126, 126, 126, 126, 126]; row 52: [70, 70, 126, 126, 126, 63, 63, 63, 75, 126, 126, 126, 126, 126, 126, 126, 126, 126, 126, 126, 126, 126, 126, 126]</t>
        </is>
      </c>
    </row>
    <row r="19">
      <c r="A19" s="2" t="inlineStr">
        <is>
          <t>Excel day tabs</t>
        </is>
      </c>
      <c r="B19" s="2" t="inlineStr">
        <is>
          <t>Tuesday: row 5 merge pattern mirrors row 4</t>
        </is>
      </c>
      <c r="C19" s="3" t="inlineStr">
        <is>
          <t>PASS</t>
        </is>
      </c>
      <c r="D19" s="2" t="inlineStr">
        <is>
          <t>Medium</t>
        </is>
      </c>
      <c r="E19" s="2" t="inlineStr">
        <is>
          <t>Row4: [(2, 5)]; Row5: [(2, 5)]</t>
        </is>
      </c>
    </row>
    <row r="20">
      <c r="A20" s="2" t="inlineStr">
        <is>
          <t>Excel day tabs</t>
        </is>
      </c>
      <c r="B20" s="2" t="inlineStr">
        <is>
          <t>Tuesday: C3 date formula unchanged</t>
        </is>
      </c>
      <c r="C20" s="3" t="inlineStr">
        <is>
          <t>PASS</t>
        </is>
      </c>
      <c r="D20" s="2" t="inlineStr">
        <is>
          <t>High</t>
        </is>
      </c>
      <c r="E20" s="2" t="inlineStr">
        <is>
          <t>C3="='How to Use'!E1 - WEEKDAY('How to Use'!E1, 3) + 1"</t>
        </is>
      </c>
    </row>
    <row r="21">
      <c r="A21" s="2" t="inlineStr">
        <is>
          <t>Excel day tabs</t>
        </is>
      </c>
      <c r="B21" s="2" t="inlineStr">
        <is>
          <t>Tuesday: 24-hour schedule present</t>
        </is>
      </c>
      <c r="C21" s="3" t="inlineStr">
        <is>
          <t>PASS</t>
        </is>
      </c>
      <c r="D21" s="2" t="inlineStr">
        <is>
          <t>High</t>
        </is>
      </c>
      <c r="E21" s="2" t="inlineStr">
        <is>
          <t>Matches: [(7, 4, 'time-values')]</t>
        </is>
      </c>
    </row>
    <row r="22">
      <c r="A22" s="2" t="inlineStr">
        <is>
          <t>Excel day tabs</t>
        </is>
      </c>
      <c r="B22" s="2" t="inlineStr">
        <is>
          <t>Tuesday: C3/F3 data validations present</t>
        </is>
      </c>
      <c r="C22" s="3" t="inlineStr">
        <is>
          <t>PASS</t>
        </is>
      </c>
      <c r="D22" s="2" t="inlineStr"/>
      <c r="E22" s="2" t="inlineStr">
        <is>
          <t>Data validations: ['C3', 'F3']</t>
        </is>
      </c>
    </row>
    <row r="23">
      <c r="A23" s="2" t="inlineStr">
        <is>
          <t>Excel day tabs</t>
        </is>
      </c>
      <c r="B23" s="2" t="inlineStr">
        <is>
          <t>Tuesday: column widths match Monday</t>
        </is>
      </c>
      <c r="C23" s="3" t="inlineStr">
        <is>
          <t>PASS</t>
        </is>
      </c>
      <c r="D23" s="2" t="inlineStr">
        <is>
          <t>Low</t>
        </is>
      </c>
      <c r="E23" s="2" t="inlineStr">
        <is>
          <t>Compared all columns</t>
        </is>
      </c>
    </row>
    <row r="24">
      <c r="A24" s="2" t="inlineStr">
        <is>
          <t>Excel day tabs</t>
        </is>
      </c>
      <c r="B24" s="2" t="inlineStr">
        <is>
          <t>Tuesday: merge ranges match Monday</t>
        </is>
      </c>
      <c r="C24" s="3" t="inlineStr">
        <is>
          <t>PASS</t>
        </is>
      </c>
      <c r="D24" s="2" t="inlineStr">
        <is>
          <t>Low</t>
        </is>
      </c>
      <c r="E24" s="2" t="inlineStr">
        <is>
          <t>Compared all merged ranges</t>
        </is>
      </c>
    </row>
    <row r="25">
      <c r="A25" s="2" t="inlineStr">
        <is>
          <t>Excel day tabs</t>
        </is>
      </c>
      <c r="B25" s="2" t="inlineStr">
        <is>
          <t>Tuesday: sampled row heights match Monday</t>
        </is>
      </c>
      <c r="C25" s="3" t="inlineStr">
        <is>
          <t>PASS</t>
        </is>
      </c>
      <c r="D25" s="2" t="inlineStr">
        <is>
          <t>Low</t>
        </is>
      </c>
      <c r="E25" s="2" t="inlineStr">
        <is>
          <t>Compared rows 1-80</t>
        </is>
      </c>
    </row>
    <row r="26">
      <c r="A26" s="2" t="inlineStr">
        <is>
          <t>Excel day tabs</t>
        </is>
      </c>
      <c r="B26" s="2" t="inlineStr">
        <is>
          <t>Wednesday: gratitude labels 1-5 consecutive</t>
        </is>
      </c>
      <c r="C26" s="3" t="inlineStr">
        <is>
          <t>PASS</t>
        </is>
      </c>
      <c r="D26" s="2" t="inlineStr"/>
      <c r="E26" s="2" t="inlineStr">
        <is>
          <t>A48:A52 = [1, 2, 3, 4, 5]</t>
        </is>
      </c>
    </row>
    <row r="27">
      <c r="A27" s="2" t="inlineStr">
        <is>
          <t>Excel day tabs</t>
        </is>
      </c>
      <c r="B27" s="2" t="inlineStr">
        <is>
          <t>Wednesday: row 5 height matches row 4</t>
        </is>
      </c>
      <c r="C27" s="3" t="inlineStr">
        <is>
          <t>PASS</t>
        </is>
      </c>
      <c r="D27" s="2" t="inlineStr">
        <is>
          <t>Medium</t>
        </is>
      </c>
      <c r="E27" s="2" t="inlineStr">
        <is>
          <t>Row 51: 15.0; row 52: 15.0</t>
        </is>
      </c>
    </row>
    <row r="28">
      <c r="A28" s="2" t="inlineStr">
        <is>
          <t>Excel day tabs</t>
        </is>
      </c>
      <c r="B28" s="2" t="inlineStr">
        <is>
          <t>Wednesday: row 5 style IDs mirror row 4</t>
        </is>
      </c>
      <c r="C28" s="3" t="inlineStr">
        <is>
          <t>PASS</t>
        </is>
      </c>
      <c r="D28" s="2" t="inlineStr">
        <is>
          <t>Medium</t>
        </is>
      </c>
      <c r="E28" s="2" t="inlineStr">
        <is>
          <t>Row 51: [70, 70, 126, 126, 126, 63, 63, 63, 75, 126, 126, 126, 126, 126, 126, 126, 126, 126, 126, 126, 126, 126, 126, 126]; row 52: [70, 70, 126, 126, 126, 63, 63, 63, 75, 126, 126, 126, 126, 126, 126, 126, 126, 126, 126, 126, 126, 126, 126, 126]</t>
        </is>
      </c>
    </row>
    <row r="29">
      <c r="A29" s="2" t="inlineStr">
        <is>
          <t>Excel day tabs</t>
        </is>
      </c>
      <c r="B29" s="2" t="inlineStr">
        <is>
          <t>Wednesday: row 5 merge pattern mirrors row 4</t>
        </is>
      </c>
      <c r="C29" s="3" t="inlineStr">
        <is>
          <t>PASS</t>
        </is>
      </c>
      <c r="D29" s="2" t="inlineStr">
        <is>
          <t>Medium</t>
        </is>
      </c>
      <c r="E29" s="2" t="inlineStr">
        <is>
          <t>Row4: [(2, 5)]; Row5: [(2, 5)]</t>
        </is>
      </c>
    </row>
    <row r="30">
      <c r="A30" s="2" t="inlineStr">
        <is>
          <t>Excel day tabs</t>
        </is>
      </c>
      <c r="B30" s="2" t="inlineStr">
        <is>
          <t>Wednesday: C3 date formula unchanged</t>
        </is>
      </c>
      <c r="C30" s="3" t="inlineStr">
        <is>
          <t>PASS</t>
        </is>
      </c>
      <c r="D30" s="2" t="inlineStr">
        <is>
          <t>High</t>
        </is>
      </c>
      <c r="E30" s="2" t="inlineStr">
        <is>
          <t>C3="='How to Use'!E1 - WEEKDAY('How to Use'!E1, 3) + 2"</t>
        </is>
      </c>
    </row>
    <row r="31">
      <c r="A31" s="2" t="inlineStr">
        <is>
          <t>Excel day tabs</t>
        </is>
      </c>
      <c r="B31" s="2" t="inlineStr">
        <is>
          <t>Wednesday: 24-hour schedule present</t>
        </is>
      </c>
      <c r="C31" s="3" t="inlineStr">
        <is>
          <t>PASS</t>
        </is>
      </c>
      <c r="D31" s="2" t="inlineStr">
        <is>
          <t>High</t>
        </is>
      </c>
      <c r="E31" s="2" t="inlineStr">
        <is>
          <t>Matches: [(7, 4, 'time-values')]</t>
        </is>
      </c>
    </row>
    <row r="32">
      <c r="A32" s="2" t="inlineStr">
        <is>
          <t>Excel day tabs</t>
        </is>
      </c>
      <c r="B32" s="2" t="inlineStr">
        <is>
          <t>Wednesday: C3/F3 data validations present</t>
        </is>
      </c>
      <c r="C32" s="3" t="inlineStr">
        <is>
          <t>PASS</t>
        </is>
      </c>
      <c r="D32" s="2" t="inlineStr"/>
      <c r="E32" s="2" t="inlineStr">
        <is>
          <t>Data validations: ['C3', 'F3']</t>
        </is>
      </c>
    </row>
    <row r="33">
      <c r="A33" s="2" t="inlineStr">
        <is>
          <t>Excel day tabs</t>
        </is>
      </c>
      <c r="B33" s="2" t="inlineStr">
        <is>
          <t>Wednesday: column widths match Monday</t>
        </is>
      </c>
      <c r="C33" s="3" t="inlineStr">
        <is>
          <t>PASS</t>
        </is>
      </c>
      <c r="D33" s="2" t="inlineStr">
        <is>
          <t>Low</t>
        </is>
      </c>
      <c r="E33" s="2" t="inlineStr">
        <is>
          <t>Compared all columns</t>
        </is>
      </c>
    </row>
    <row r="34">
      <c r="A34" s="2" t="inlineStr">
        <is>
          <t>Excel day tabs</t>
        </is>
      </c>
      <c r="B34" s="2" t="inlineStr">
        <is>
          <t>Wednesday: merge ranges match Monday</t>
        </is>
      </c>
      <c r="C34" s="3" t="inlineStr">
        <is>
          <t>PASS</t>
        </is>
      </c>
      <c r="D34" s="2" t="inlineStr">
        <is>
          <t>Low</t>
        </is>
      </c>
      <c r="E34" s="2" t="inlineStr">
        <is>
          <t>Compared all merged ranges</t>
        </is>
      </c>
    </row>
    <row r="35">
      <c r="A35" s="2" t="inlineStr">
        <is>
          <t>Excel day tabs</t>
        </is>
      </c>
      <c r="B35" s="2" t="inlineStr">
        <is>
          <t>Wednesday: sampled row heights match Monday</t>
        </is>
      </c>
      <c r="C35" s="3" t="inlineStr">
        <is>
          <t>PASS</t>
        </is>
      </c>
      <c r="D35" s="2" t="inlineStr">
        <is>
          <t>Low</t>
        </is>
      </c>
      <c r="E35" s="2" t="inlineStr">
        <is>
          <t>Compared rows 1-80</t>
        </is>
      </c>
    </row>
    <row r="36">
      <c r="A36" s="2" t="inlineStr">
        <is>
          <t>Excel day tabs</t>
        </is>
      </c>
      <c r="B36" s="2" t="inlineStr">
        <is>
          <t>Thursday: gratitude labels 1-5 consecutive</t>
        </is>
      </c>
      <c r="C36" s="3" t="inlineStr">
        <is>
          <t>PASS</t>
        </is>
      </c>
      <c r="D36" s="2" t="inlineStr"/>
      <c r="E36" s="2" t="inlineStr">
        <is>
          <t>A48:A52 = [1, 2, 3, 4, 5]</t>
        </is>
      </c>
    </row>
    <row r="37">
      <c r="A37" s="2" t="inlineStr">
        <is>
          <t>Excel day tabs</t>
        </is>
      </c>
      <c r="B37" s="2" t="inlineStr">
        <is>
          <t>Thursday: row 5 height matches row 4</t>
        </is>
      </c>
      <c r="C37" s="3" t="inlineStr">
        <is>
          <t>PASS</t>
        </is>
      </c>
      <c r="D37" s="2" t="inlineStr">
        <is>
          <t>Medium</t>
        </is>
      </c>
      <c r="E37" s="2" t="inlineStr">
        <is>
          <t>Row 51: 15.0; row 52: 15.0</t>
        </is>
      </c>
    </row>
    <row r="38">
      <c r="A38" s="2" t="inlineStr">
        <is>
          <t>Excel day tabs</t>
        </is>
      </c>
      <c r="B38" s="2" t="inlineStr">
        <is>
          <t>Thursday: row 5 style IDs mirror row 4</t>
        </is>
      </c>
      <c r="C38" s="3" t="inlineStr">
        <is>
          <t>PASS</t>
        </is>
      </c>
      <c r="D38" s="2" t="inlineStr">
        <is>
          <t>Medium</t>
        </is>
      </c>
      <c r="E38" s="2" t="inlineStr">
        <is>
          <t>Row 51: [70, 70, 126, 126, 126, 63, 63, 63, 75, 126, 126, 126, 126, 126, 126, 126, 126, 126, 126, 126, 126, 126, 126, 126]; row 52: [70, 70, 126, 126, 126, 63, 63, 63, 75, 126, 126, 126, 126, 126, 126, 126, 126, 126, 126, 126, 126, 126, 126, 126]</t>
        </is>
      </c>
    </row>
    <row r="39">
      <c r="A39" s="2" t="inlineStr">
        <is>
          <t>Excel day tabs</t>
        </is>
      </c>
      <c r="B39" s="2" t="inlineStr">
        <is>
          <t>Thursday: row 5 merge pattern mirrors row 4</t>
        </is>
      </c>
      <c r="C39" s="3" t="inlineStr">
        <is>
          <t>PASS</t>
        </is>
      </c>
      <c r="D39" s="2" t="inlineStr">
        <is>
          <t>Medium</t>
        </is>
      </c>
      <c r="E39" s="2" t="inlineStr">
        <is>
          <t>Row4: [(2, 5)]; Row5: [(2, 5)]</t>
        </is>
      </c>
    </row>
    <row r="40">
      <c r="A40" s="2" t="inlineStr">
        <is>
          <t>Excel day tabs</t>
        </is>
      </c>
      <c r="B40" s="2" t="inlineStr">
        <is>
          <t>Thursday: C3 date formula unchanged</t>
        </is>
      </c>
      <c r="C40" s="3" t="inlineStr">
        <is>
          <t>PASS</t>
        </is>
      </c>
      <c r="D40" s="2" t="inlineStr">
        <is>
          <t>High</t>
        </is>
      </c>
      <c r="E40" s="2" t="inlineStr">
        <is>
          <t>C3="='How to Use'!E1 - WEEKDAY('How to Use'!E1, 3) + 3"</t>
        </is>
      </c>
    </row>
    <row r="41">
      <c r="A41" s="2" t="inlineStr">
        <is>
          <t>Excel day tabs</t>
        </is>
      </c>
      <c r="B41" s="2" t="inlineStr">
        <is>
          <t>Thursday: 24-hour schedule present</t>
        </is>
      </c>
      <c r="C41" s="3" t="inlineStr">
        <is>
          <t>PASS</t>
        </is>
      </c>
      <c r="D41" s="2" t="inlineStr">
        <is>
          <t>High</t>
        </is>
      </c>
      <c r="E41" s="2" t="inlineStr">
        <is>
          <t>Matches: [(7, 4, 'time-values')]</t>
        </is>
      </c>
    </row>
    <row r="42">
      <c r="A42" s="2" t="inlineStr">
        <is>
          <t>Excel day tabs</t>
        </is>
      </c>
      <c r="B42" s="2" t="inlineStr">
        <is>
          <t>Thursday: C3/F3 data validations present</t>
        </is>
      </c>
      <c r="C42" s="3" t="inlineStr">
        <is>
          <t>PASS</t>
        </is>
      </c>
      <c r="D42" s="2" t="inlineStr"/>
      <c r="E42" s="2" t="inlineStr">
        <is>
          <t>Data validations: ['C3', 'F3']</t>
        </is>
      </c>
    </row>
    <row r="43">
      <c r="A43" s="2" t="inlineStr">
        <is>
          <t>Excel day tabs</t>
        </is>
      </c>
      <c r="B43" s="2" t="inlineStr">
        <is>
          <t>Thursday: column widths match Monday</t>
        </is>
      </c>
      <c r="C43" s="3" t="inlineStr">
        <is>
          <t>PASS</t>
        </is>
      </c>
      <c r="D43" s="2" t="inlineStr">
        <is>
          <t>Low</t>
        </is>
      </c>
      <c r="E43" s="2" t="inlineStr">
        <is>
          <t>Compared all columns</t>
        </is>
      </c>
    </row>
    <row r="44">
      <c r="A44" s="2" t="inlineStr">
        <is>
          <t>Excel day tabs</t>
        </is>
      </c>
      <c r="B44" s="2" t="inlineStr">
        <is>
          <t>Thursday: merge ranges match Monday</t>
        </is>
      </c>
      <c r="C44" s="3" t="inlineStr">
        <is>
          <t>PASS</t>
        </is>
      </c>
      <c r="D44" s="2" t="inlineStr">
        <is>
          <t>Low</t>
        </is>
      </c>
      <c r="E44" s="2" t="inlineStr">
        <is>
          <t>Compared all merged ranges</t>
        </is>
      </c>
    </row>
    <row r="45">
      <c r="A45" s="2" t="inlineStr">
        <is>
          <t>Excel day tabs</t>
        </is>
      </c>
      <c r="B45" s="2" t="inlineStr">
        <is>
          <t>Thursday: sampled row heights match Monday</t>
        </is>
      </c>
      <c r="C45" s="3" t="inlineStr">
        <is>
          <t>PASS</t>
        </is>
      </c>
      <c r="D45" s="2" t="inlineStr">
        <is>
          <t>Low</t>
        </is>
      </c>
      <c r="E45" s="2" t="inlineStr">
        <is>
          <t>Compared rows 1-80</t>
        </is>
      </c>
    </row>
    <row r="46">
      <c r="A46" s="2" t="inlineStr">
        <is>
          <t>Excel day tabs</t>
        </is>
      </c>
      <c r="B46" s="2" t="inlineStr">
        <is>
          <t>Friday: gratitude labels 1-5 consecutive</t>
        </is>
      </c>
      <c r="C46" s="3" t="inlineStr">
        <is>
          <t>PASS</t>
        </is>
      </c>
      <c r="D46" s="2" t="inlineStr"/>
      <c r="E46" s="2" t="inlineStr">
        <is>
          <t>A48:A52 = [1, 2, 3, 4, 5]</t>
        </is>
      </c>
    </row>
    <row r="47">
      <c r="A47" s="2" t="inlineStr">
        <is>
          <t>Excel day tabs</t>
        </is>
      </c>
      <c r="B47" s="2" t="inlineStr">
        <is>
          <t>Friday: row 5 height matches row 4</t>
        </is>
      </c>
      <c r="C47" s="3" t="inlineStr">
        <is>
          <t>PASS</t>
        </is>
      </c>
      <c r="D47" s="2" t="inlineStr">
        <is>
          <t>Medium</t>
        </is>
      </c>
      <c r="E47" s="2" t="inlineStr">
        <is>
          <t>Row 51: 15.0; row 52: 15.0</t>
        </is>
      </c>
    </row>
    <row r="48">
      <c r="A48" s="2" t="inlineStr">
        <is>
          <t>Excel day tabs</t>
        </is>
      </c>
      <c r="B48" s="2" t="inlineStr">
        <is>
          <t>Friday: row 5 style IDs mirror row 4</t>
        </is>
      </c>
      <c r="C48" s="3" t="inlineStr">
        <is>
          <t>PASS</t>
        </is>
      </c>
      <c r="D48" s="2" t="inlineStr">
        <is>
          <t>Medium</t>
        </is>
      </c>
      <c r="E48" s="2" t="inlineStr">
        <is>
          <t>Row 51: [70, 70, 126, 126, 126, 63, 63, 63, 75, 126, 126, 126, 126, 126, 126, 126, 126, 126, 126, 126, 126, 126, 126, 126]; row 52: [70, 70, 126, 126, 126, 63, 63, 63, 75, 126, 126, 126, 126, 126, 126, 126, 126, 126, 126, 126, 126, 126, 126, 126]</t>
        </is>
      </c>
    </row>
    <row r="49">
      <c r="A49" s="2" t="inlineStr">
        <is>
          <t>Excel day tabs</t>
        </is>
      </c>
      <c r="B49" s="2" t="inlineStr">
        <is>
          <t>Friday: row 5 merge pattern mirrors row 4</t>
        </is>
      </c>
      <c r="C49" s="3" t="inlineStr">
        <is>
          <t>PASS</t>
        </is>
      </c>
      <c r="D49" s="2" t="inlineStr">
        <is>
          <t>Medium</t>
        </is>
      </c>
      <c r="E49" s="2" t="inlineStr">
        <is>
          <t>Row4: [(2, 5)]; Row5: [(2, 5)]</t>
        </is>
      </c>
    </row>
    <row r="50">
      <c r="A50" s="2" t="inlineStr">
        <is>
          <t>Excel day tabs</t>
        </is>
      </c>
      <c r="B50" s="2" t="inlineStr">
        <is>
          <t>Friday: C3 date formula unchanged</t>
        </is>
      </c>
      <c r="C50" s="3" t="inlineStr">
        <is>
          <t>PASS</t>
        </is>
      </c>
      <c r="D50" s="2" t="inlineStr">
        <is>
          <t>High</t>
        </is>
      </c>
      <c r="E50" s="2" t="inlineStr">
        <is>
          <t>C3="='How to Use'!E1 - WEEKDAY('How to Use'!E1, 3) + 4"</t>
        </is>
      </c>
    </row>
    <row r="51">
      <c r="A51" s="2" t="inlineStr">
        <is>
          <t>Excel day tabs</t>
        </is>
      </c>
      <c r="B51" s="2" t="inlineStr">
        <is>
          <t>Friday: 24-hour schedule present</t>
        </is>
      </c>
      <c r="C51" s="3" t="inlineStr">
        <is>
          <t>PASS</t>
        </is>
      </c>
      <c r="D51" s="2" t="inlineStr">
        <is>
          <t>High</t>
        </is>
      </c>
      <c r="E51" s="2" t="inlineStr">
        <is>
          <t>Matches: [(7, 4, 'time-values')]</t>
        </is>
      </c>
    </row>
    <row r="52">
      <c r="A52" s="2" t="inlineStr">
        <is>
          <t>Excel day tabs</t>
        </is>
      </c>
      <c r="B52" s="2" t="inlineStr">
        <is>
          <t>Friday: C3/F3 data validations present</t>
        </is>
      </c>
      <c r="C52" s="3" t="inlineStr">
        <is>
          <t>PASS</t>
        </is>
      </c>
      <c r="D52" s="2" t="inlineStr"/>
      <c r="E52" s="2" t="inlineStr">
        <is>
          <t>Data validations: ['C3', 'F3']</t>
        </is>
      </c>
    </row>
    <row r="53">
      <c r="A53" s="2" t="inlineStr">
        <is>
          <t>Excel day tabs</t>
        </is>
      </c>
      <c r="B53" s="2" t="inlineStr">
        <is>
          <t>Friday: column widths match Monday</t>
        </is>
      </c>
      <c r="C53" s="3" t="inlineStr">
        <is>
          <t>PASS</t>
        </is>
      </c>
      <c r="D53" s="2" t="inlineStr">
        <is>
          <t>Low</t>
        </is>
      </c>
      <c r="E53" s="2" t="inlineStr">
        <is>
          <t>Compared all columns</t>
        </is>
      </c>
    </row>
    <row r="54">
      <c r="A54" s="2" t="inlineStr">
        <is>
          <t>Excel day tabs</t>
        </is>
      </c>
      <c r="B54" s="2" t="inlineStr">
        <is>
          <t>Friday: merge ranges match Monday</t>
        </is>
      </c>
      <c r="C54" s="3" t="inlineStr">
        <is>
          <t>PASS</t>
        </is>
      </c>
      <c r="D54" s="2" t="inlineStr">
        <is>
          <t>Low</t>
        </is>
      </c>
      <c r="E54" s="2" t="inlineStr">
        <is>
          <t>Compared all merged ranges</t>
        </is>
      </c>
    </row>
    <row r="55">
      <c r="A55" s="2" t="inlineStr">
        <is>
          <t>Excel day tabs</t>
        </is>
      </c>
      <c r="B55" s="2" t="inlineStr">
        <is>
          <t>Friday: sampled row heights match Monday</t>
        </is>
      </c>
      <c r="C55" s="3" t="inlineStr">
        <is>
          <t>PASS</t>
        </is>
      </c>
      <c r="D55" s="2" t="inlineStr">
        <is>
          <t>Low</t>
        </is>
      </c>
      <c r="E55" s="2" t="inlineStr">
        <is>
          <t>Compared rows 1-80</t>
        </is>
      </c>
    </row>
    <row r="56">
      <c r="A56" s="2" t="inlineStr">
        <is>
          <t>Excel day tabs</t>
        </is>
      </c>
      <c r="B56" s="2" t="inlineStr">
        <is>
          <t>Saturday: gratitude labels 1-5 consecutive</t>
        </is>
      </c>
      <c r="C56" s="3" t="inlineStr">
        <is>
          <t>PASS</t>
        </is>
      </c>
      <c r="D56" s="2" t="inlineStr"/>
      <c r="E56" s="2" t="inlineStr">
        <is>
          <t>A48:A52 = [1, 2, 3, 4, 5]</t>
        </is>
      </c>
    </row>
    <row r="57">
      <c r="A57" s="2" t="inlineStr">
        <is>
          <t>Excel day tabs</t>
        </is>
      </c>
      <c r="B57" s="2" t="inlineStr">
        <is>
          <t>Saturday: row 5 height matches row 4</t>
        </is>
      </c>
      <c r="C57" s="3" t="inlineStr">
        <is>
          <t>PASS</t>
        </is>
      </c>
      <c r="D57" s="2" t="inlineStr">
        <is>
          <t>Medium</t>
        </is>
      </c>
      <c r="E57" s="2" t="inlineStr">
        <is>
          <t>Row 51: 15.0; row 52: 15.0</t>
        </is>
      </c>
    </row>
    <row r="58">
      <c r="A58" s="2" t="inlineStr">
        <is>
          <t>Excel day tabs</t>
        </is>
      </c>
      <c r="B58" s="2" t="inlineStr">
        <is>
          <t>Saturday: row 5 style IDs mirror row 4</t>
        </is>
      </c>
      <c r="C58" s="3" t="inlineStr">
        <is>
          <t>PASS</t>
        </is>
      </c>
      <c r="D58" s="2" t="inlineStr">
        <is>
          <t>Medium</t>
        </is>
      </c>
      <c r="E58" s="2" t="inlineStr">
        <is>
          <t>Row 51: [70, 70, 126, 126, 126, 63, 63, 63, 75, 126, 126, 126, 126, 126, 126, 126, 126, 126, 126, 126, 126, 126, 126, 126]; row 52: [70, 70, 126, 126, 126, 63, 63, 63, 75, 126, 126, 126, 126, 126, 126, 126, 126, 126, 126, 126, 126, 126, 126, 126]</t>
        </is>
      </c>
    </row>
    <row r="59">
      <c r="A59" s="2" t="inlineStr">
        <is>
          <t>Excel day tabs</t>
        </is>
      </c>
      <c r="B59" s="2" t="inlineStr">
        <is>
          <t>Saturday: row 5 merge pattern mirrors row 4</t>
        </is>
      </c>
      <c r="C59" s="3" t="inlineStr">
        <is>
          <t>PASS</t>
        </is>
      </c>
      <c r="D59" s="2" t="inlineStr">
        <is>
          <t>Medium</t>
        </is>
      </c>
      <c r="E59" s="2" t="inlineStr">
        <is>
          <t>Row4: [(2, 5)]; Row5: [(2, 5)]</t>
        </is>
      </c>
    </row>
    <row r="60">
      <c r="A60" s="2" t="inlineStr">
        <is>
          <t>Excel day tabs</t>
        </is>
      </c>
      <c r="B60" s="2" t="inlineStr">
        <is>
          <t>Saturday: C3 date formula unchanged</t>
        </is>
      </c>
      <c r="C60" s="3" t="inlineStr">
        <is>
          <t>PASS</t>
        </is>
      </c>
      <c r="D60" s="2" t="inlineStr">
        <is>
          <t>High</t>
        </is>
      </c>
      <c r="E60" s="2" t="inlineStr">
        <is>
          <t>C3="='How to Use'!E1 - WEEKDAY('How to Use'!E1, 3) + 5"</t>
        </is>
      </c>
    </row>
    <row r="61">
      <c r="A61" s="2" t="inlineStr">
        <is>
          <t>Excel day tabs</t>
        </is>
      </c>
      <c r="B61" s="2" t="inlineStr">
        <is>
          <t>Saturday: 24-hour schedule present</t>
        </is>
      </c>
      <c r="C61" s="3" t="inlineStr">
        <is>
          <t>PASS</t>
        </is>
      </c>
      <c r="D61" s="2" t="inlineStr">
        <is>
          <t>High</t>
        </is>
      </c>
      <c r="E61" s="2" t="inlineStr">
        <is>
          <t>Matches: [(7, 4, 'time-values')]</t>
        </is>
      </c>
    </row>
    <row r="62">
      <c r="A62" s="2" t="inlineStr">
        <is>
          <t>Excel day tabs</t>
        </is>
      </c>
      <c r="B62" s="2" t="inlineStr">
        <is>
          <t>Saturday: C3/F3 data validations present</t>
        </is>
      </c>
      <c r="C62" s="3" t="inlineStr">
        <is>
          <t>PASS</t>
        </is>
      </c>
      <c r="D62" s="2" t="inlineStr"/>
      <c r="E62" s="2" t="inlineStr">
        <is>
          <t>Data validations: ['C3', 'F3']</t>
        </is>
      </c>
    </row>
    <row r="63">
      <c r="A63" s="2" t="inlineStr">
        <is>
          <t>Excel day tabs</t>
        </is>
      </c>
      <c r="B63" s="2" t="inlineStr">
        <is>
          <t>Saturday: column widths match Monday</t>
        </is>
      </c>
      <c r="C63" s="3" t="inlineStr">
        <is>
          <t>PASS</t>
        </is>
      </c>
      <c r="D63" s="2" t="inlineStr">
        <is>
          <t>Low</t>
        </is>
      </c>
      <c r="E63" s="2" t="inlineStr">
        <is>
          <t>Compared all columns</t>
        </is>
      </c>
    </row>
    <row r="64">
      <c r="A64" s="2" t="inlineStr">
        <is>
          <t>Excel day tabs</t>
        </is>
      </c>
      <c r="B64" s="2" t="inlineStr">
        <is>
          <t>Saturday: merge ranges match Monday</t>
        </is>
      </c>
      <c r="C64" s="3" t="inlineStr">
        <is>
          <t>PASS</t>
        </is>
      </c>
      <c r="D64" s="2" t="inlineStr">
        <is>
          <t>Low</t>
        </is>
      </c>
      <c r="E64" s="2" t="inlineStr">
        <is>
          <t>Compared all merged ranges</t>
        </is>
      </c>
    </row>
    <row r="65">
      <c r="A65" s="2" t="inlineStr">
        <is>
          <t>Excel day tabs</t>
        </is>
      </c>
      <c r="B65" s="2" t="inlineStr">
        <is>
          <t>Saturday: sampled row heights match Monday</t>
        </is>
      </c>
      <c r="C65" s="3" t="inlineStr">
        <is>
          <t>PASS</t>
        </is>
      </c>
      <c r="D65" s="2" t="inlineStr">
        <is>
          <t>Low</t>
        </is>
      </c>
      <c r="E65" s="2" t="inlineStr">
        <is>
          <t>Compared rows 1-80</t>
        </is>
      </c>
    </row>
    <row r="66">
      <c r="A66" s="2" t="inlineStr">
        <is>
          <t>Excel day tabs</t>
        </is>
      </c>
      <c r="B66" s="2" t="inlineStr">
        <is>
          <t>Sunday: gratitude labels 1-5 consecutive</t>
        </is>
      </c>
      <c r="C66" s="3" t="inlineStr">
        <is>
          <t>PASS</t>
        </is>
      </c>
      <c r="D66" s="2" t="inlineStr"/>
      <c r="E66" s="2" t="inlineStr">
        <is>
          <t>A48:A52 = [1, 2, 3, 4, 5]</t>
        </is>
      </c>
    </row>
    <row r="67">
      <c r="A67" s="2" t="inlineStr">
        <is>
          <t>Excel day tabs</t>
        </is>
      </c>
      <c r="B67" s="2" t="inlineStr">
        <is>
          <t>Sunday: row 5 height matches row 4</t>
        </is>
      </c>
      <c r="C67" s="3" t="inlineStr">
        <is>
          <t>PASS</t>
        </is>
      </c>
      <c r="D67" s="2" t="inlineStr">
        <is>
          <t>Medium</t>
        </is>
      </c>
      <c r="E67" s="2" t="inlineStr">
        <is>
          <t>Row 51: 15.0; row 52: 15.0</t>
        </is>
      </c>
    </row>
    <row r="68">
      <c r="A68" s="2" t="inlineStr">
        <is>
          <t>Excel day tabs</t>
        </is>
      </c>
      <c r="B68" s="2" t="inlineStr">
        <is>
          <t>Sunday: row 5 style IDs mirror row 4</t>
        </is>
      </c>
      <c r="C68" s="3" t="inlineStr">
        <is>
          <t>PASS</t>
        </is>
      </c>
      <c r="D68" s="2" t="inlineStr">
        <is>
          <t>Medium</t>
        </is>
      </c>
      <c r="E68" s="2" t="inlineStr">
        <is>
          <t>Row 51: [70, 70, 126, 126, 126, 63, 63, 63, 75, 126, 126, 126, 126, 126, 126, 126, 126, 126, 126, 126, 126, 126, 126, 126]; row 52: [70, 70, 126, 126, 126, 63, 63, 63, 75, 126, 126, 126, 126, 126, 126, 126, 126, 126, 126, 126, 126, 126, 126, 126]</t>
        </is>
      </c>
    </row>
    <row r="69">
      <c r="A69" s="2" t="inlineStr">
        <is>
          <t>Excel day tabs</t>
        </is>
      </c>
      <c r="B69" s="2" t="inlineStr">
        <is>
          <t>Sunday: row 5 merge pattern mirrors row 4</t>
        </is>
      </c>
      <c r="C69" s="3" t="inlineStr">
        <is>
          <t>PASS</t>
        </is>
      </c>
      <c r="D69" s="2" t="inlineStr">
        <is>
          <t>Medium</t>
        </is>
      </c>
      <c r="E69" s="2" t="inlineStr">
        <is>
          <t>Row4: [(2, 5)]; Row5: [(2, 5)]</t>
        </is>
      </c>
    </row>
    <row r="70">
      <c r="A70" s="2" t="inlineStr">
        <is>
          <t>Excel day tabs</t>
        </is>
      </c>
      <c r="B70" s="2" t="inlineStr">
        <is>
          <t>Sunday: C3 date formula unchanged</t>
        </is>
      </c>
      <c r="C70" s="3" t="inlineStr">
        <is>
          <t>PASS</t>
        </is>
      </c>
      <c r="D70" s="2" t="inlineStr">
        <is>
          <t>High</t>
        </is>
      </c>
      <c r="E70" s="2" t="inlineStr">
        <is>
          <t>C3="='How to Use'!E1 - WEEKDAY('How to Use'!E1, 3) + 6"</t>
        </is>
      </c>
    </row>
    <row r="71">
      <c r="A71" s="2" t="inlineStr">
        <is>
          <t>Excel day tabs</t>
        </is>
      </c>
      <c r="B71" s="2" t="inlineStr">
        <is>
          <t>Sunday: 24-hour schedule present</t>
        </is>
      </c>
      <c r="C71" s="3" t="inlineStr">
        <is>
          <t>PASS</t>
        </is>
      </c>
      <c r="D71" s="2" t="inlineStr">
        <is>
          <t>High</t>
        </is>
      </c>
      <c r="E71" s="2" t="inlineStr">
        <is>
          <t>Matches: [(7, 4, 'time-values')]</t>
        </is>
      </c>
    </row>
    <row r="72">
      <c r="A72" s="2" t="inlineStr">
        <is>
          <t>Excel day tabs</t>
        </is>
      </c>
      <c r="B72" s="2" t="inlineStr">
        <is>
          <t>Sunday: C3/F3 data validations present</t>
        </is>
      </c>
      <c r="C72" s="3" t="inlineStr">
        <is>
          <t>PASS</t>
        </is>
      </c>
      <c r="D72" s="2" t="inlineStr"/>
      <c r="E72" s="2" t="inlineStr">
        <is>
          <t>Data validations: ['C3', 'F3']</t>
        </is>
      </c>
    </row>
    <row r="73">
      <c r="A73" s="2" t="inlineStr">
        <is>
          <t>Excel day tabs</t>
        </is>
      </c>
      <c r="B73" s="2" t="inlineStr">
        <is>
          <t>Sunday: column widths match Monday</t>
        </is>
      </c>
      <c r="C73" s="3" t="inlineStr">
        <is>
          <t>PASS</t>
        </is>
      </c>
      <c r="D73" s="2" t="inlineStr">
        <is>
          <t>Low</t>
        </is>
      </c>
      <c r="E73" s="2" t="inlineStr">
        <is>
          <t>Compared all columns</t>
        </is>
      </c>
    </row>
    <row r="74">
      <c r="A74" s="2" t="inlineStr">
        <is>
          <t>Excel day tabs</t>
        </is>
      </c>
      <c r="B74" s="2" t="inlineStr">
        <is>
          <t>Sunday: merge ranges match Monday</t>
        </is>
      </c>
      <c r="C74" s="3" t="inlineStr">
        <is>
          <t>PASS</t>
        </is>
      </c>
      <c r="D74" s="2" t="inlineStr">
        <is>
          <t>Low</t>
        </is>
      </c>
      <c r="E74" s="2" t="inlineStr">
        <is>
          <t>Compared all merged ranges</t>
        </is>
      </c>
    </row>
    <row r="75">
      <c r="A75" s="2" t="inlineStr">
        <is>
          <t>Excel day tabs</t>
        </is>
      </c>
      <c r="B75" s="2" t="inlineStr">
        <is>
          <t>Sunday: sampled row heights match Monday</t>
        </is>
      </c>
      <c r="C75" s="3" t="inlineStr">
        <is>
          <t>PASS</t>
        </is>
      </c>
      <c r="D75" s="2" t="inlineStr">
        <is>
          <t>Low</t>
        </is>
      </c>
      <c r="E75" s="2" t="inlineStr">
        <is>
          <t>Compared rows 1-80</t>
        </is>
      </c>
    </row>
    <row r="76">
      <c r="A76" s="2" t="inlineStr">
        <is>
          <t>Excel</t>
        </is>
      </c>
      <c r="B76" s="2" t="inlineStr">
        <is>
          <t>No literal formula error markers found</t>
        </is>
      </c>
      <c r="C76" s="3" t="inlineStr">
        <is>
          <t>PASS</t>
        </is>
      </c>
      <c r="D76" s="2" t="inlineStr">
        <is>
          <t>High</t>
        </is>
      </c>
      <c r="E76" s="2" t="inlineStr">
        <is>
          <t>[]</t>
        </is>
      </c>
    </row>
    <row r="77">
      <c r="A77" s="2" t="inlineStr">
        <is>
          <t>Google Sheets archive</t>
        </is>
      </c>
      <c r="B77" s="2" t="inlineStr">
        <is>
          <t>v9 archive reflects unpatched live-sheet structure</t>
        </is>
      </c>
      <c r="C77" s="4" t="inlineStr">
        <is>
          <t>WARN</t>
        </is>
      </c>
      <c r="D77" s="2" t="inlineStr">
        <is>
          <t>Medium</t>
        </is>
      </c>
      <c r="E77" s="2" t="inlineStr">
        <is>
          <t>Old wording hits: [('How to Use', 'B21', '  2.  Schedule (6 AM – 9 PM)')]; gratitude states (has4, has5): [('Monday', True, False), ('Tuesday', True, False), ('Wednesday', True, False), ('Thursday', True, False), ('Friday', True, False), ('Saturday', True, False), ('Sunday', True, False)]. Owner still needs to run Apps Script in live Google Sheet.</t>
        </is>
      </c>
    </row>
    <row r="78">
      <c r="A78" s="2" t="inlineStr">
        <is>
          <t>Apps Script</t>
        </is>
      </c>
      <c r="B78" s="2" t="inlineStr">
        <is>
          <t>Fix script exists</t>
        </is>
      </c>
      <c r="C78" s="3" t="inlineStr">
        <is>
          <t>PASS</t>
        </is>
      </c>
      <c r="D78" s="2" t="inlineStr">
        <is>
          <t>High</t>
        </is>
      </c>
      <c r="E78" s="2" t="inlineStr">
        <is>
          <t>C:\Users\Charles\Documents\dwm\BloomPlansCo\Daily Planner\FIX_GRATITUDE_AND_WORDING_SCRIPT.txt</t>
        </is>
      </c>
    </row>
    <row r="79">
      <c r="A79" s="2" t="inlineStr">
        <is>
          <t>Apps Script</t>
        </is>
      </c>
      <c r="B79" s="2" t="inlineStr">
        <is>
          <t>Function name is fixGratitudeAndWording</t>
        </is>
      </c>
      <c r="C79" s="3" t="inlineStr">
        <is>
          <t>PASS</t>
        </is>
      </c>
      <c r="D79" s="2" t="inlineStr">
        <is>
          <t>High</t>
        </is>
      </c>
      <c r="E79" s="2" t="inlineStr"/>
    </row>
    <row r="80">
      <c r="A80" s="2" t="inlineStr">
        <is>
          <t>Apps Script</t>
        </is>
      </c>
      <c r="B80" s="2" t="inlineStr">
        <is>
          <t>Uses insertRowsAfter and final Done alert</t>
        </is>
      </c>
      <c r="C80" s="3" t="inlineStr">
        <is>
          <t>PASS</t>
        </is>
      </c>
      <c r="D80" s="2" t="inlineStr">
        <is>
          <t>High</t>
        </is>
      </c>
      <c r="E80" s="2" t="inlineStr"/>
    </row>
    <row r="81">
      <c r="A81" s="2" t="inlineStr">
        <is>
          <t>Apps Script</t>
        </is>
      </c>
      <c r="B81" s="2" t="inlineStr">
        <is>
          <t>Includes idempotency guard for existing 5 label</t>
        </is>
      </c>
      <c r="C81" s="3" t="inlineStr">
        <is>
          <t>PASS</t>
        </is>
      </c>
      <c r="D81" s="2" t="inlineStr">
        <is>
          <t>High</t>
        </is>
      </c>
      <c r="E81" s="2" t="inlineStr"/>
    </row>
    <row r="82">
      <c r="A82" s="2" t="inlineStr">
        <is>
          <t>Apps Script</t>
        </is>
      </c>
      <c r="B82" s="2" t="inlineStr">
        <is>
          <t>No eval usage</t>
        </is>
      </c>
      <c r="C82" s="3" t="inlineStr">
        <is>
          <t>PASS</t>
        </is>
      </c>
      <c r="D82" s="2" t="inlineStr">
        <is>
          <t>High</t>
        </is>
      </c>
      <c r="E82" s="2" t="inlineStr"/>
    </row>
    <row r="83">
      <c r="A83" s="2" t="inlineStr">
        <is>
          <t>Apps Script</t>
        </is>
      </c>
      <c r="B83" s="2" t="inlineStr">
        <is>
          <t>Syntax parses with Node checker</t>
        </is>
      </c>
      <c r="C83" s="3" t="inlineStr">
        <is>
          <t>PASS</t>
        </is>
      </c>
      <c r="D83" s="2" t="inlineStr">
        <is>
          <t>High</t>
        </is>
      </c>
      <c r="E83" s="2" t="inlineStr"/>
    </row>
    <row r="84">
      <c r="A84" s="2" t="inlineStr">
        <is>
          <t>Notion daily</t>
        </is>
      </c>
      <c r="B84" s="2" t="inlineStr">
        <is>
          <t>Daily markdown file exists</t>
        </is>
      </c>
      <c r="C84" s="3" t="inlineStr">
        <is>
          <t>PASS</t>
        </is>
      </c>
      <c r="D84" s="2" t="inlineStr"/>
      <c r="E84" s="2" t="inlineStr">
        <is>
          <t>C:\Users\Charles\Documents\dwm\BloomPlansCo\Daily Planner\Notion_1_Daily_Page.md</t>
        </is>
      </c>
    </row>
    <row r="85">
      <c r="A85" s="2" t="inlineStr">
        <is>
          <t>Notion daily</t>
        </is>
      </c>
      <c r="B85" s="2" t="inlineStr">
        <is>
          <t>24-hour schedule rows from 12 AM to 11 PM</t>
        </is>
      </c>
      <c r="C85" s="3" t="inlineStr">
        <is>
          <t>PASS</t>
        </is>
      </c>
      <c r="D85" s="2" t="inlineStr">
        <is>
          <t>High</t>
        </is>
      </c>
      <c r="E85" s="2" t="inlineStr">
        <is>
          <t>Found 24 rows: ['12:00 AM', '1:00 AM', '2:00 AM', '3:00 AM', '4:00 AM', '5:00 AM', '6:00 AM', '7:00 AM', '8:00 AM', '9:00 AM', '10:00 AM', '11:00 AM', '12:00 PM', '1:00 PM', '2:00 PM', '3:00 PM', '4:00 PM', '5:00 PM', '6:00 PM', '7:00 PM', '8:00 PM', '9:00 PM', '10:00 PM', '11:00 PM']</t>
        </is>
      </c>
    </row>
    <row r="86">
      <c r="A86" s="2" t="inlineStr">
        <is>
          <t>Notion daily</t>
        </is>
      </c>
      <c r="B86" s="2" t="inlineStr">
        <is>
          <t>Five gratitude entries</t>
        </is>
      </c>
      <c r="C86" s="3" t="inlineStr">
        <is>
          <t>PASS</t>
        </is>
      </c>
      <c r="D86" s="2" t="inlineStr">
        <is>
          <t>High</t>
        </is>
      </c>
      <c r="E86" s="2" t="inlineStr">
        <is>
          <t>Found: ['1', '2', '3', '4', '5']</t>
        </is>
      </c>
    </row>
    <row r="87">
      <c r="A87" s="2" t="inlineStr">
        <is>
          <t>Notion daily</t>
        </is>
      </c>
      <c r="B87" s="2" t="inlineStr">
        <is>
          <t>Top 3 priorities has exactly 3 checkboxes</t>
        </is>
      </c>
      <c r="C87" s="3" t="inlineStr">
        <is>
          <t>PASS</t>
        </is>
      </c>
      <c r="D87" s="2" t="inlineStr">
        <is>
          <t>Low</t>
        </is>
      </c>
      <c r="E87" s="2" t="inlineStr">
        <is>
          <t>Checkbox count: 3</t>
        </is>
      </c>
    </row>
    <row r="88">
      <c r="A88" s="2" t="inlineStr">
        <is>
          <t>Notion daily</t>
        </is>
      </c>
      <c r="B88" s="2" t="inlineStr">
        <is>
          <t>To-do list has 8 checkboxes</t>
        </is>
      </c>
      <c r="C88" s="3" t="inlineStr">
        <is>
          <t>PASS</t>
        </is>
      </c>
      <c r="D88" s="2" t="inlineStr">
        <is>
          <t>Low</t>
        </is>
      </c>
      <c r="E88" s="2" t="inlineStr">
        <is>
          <t>Checkbox count: 8</t>
        </is>
      </c>
    </row>
    <row r="89">
      <c r="A89" s="2" t="inlineStr">
        <is>
          <t>Notion daily</t>
        </is>
      </c>
      <c r="B89" s="2" t="inlineStr">
        <is>
          <t>Daily goals has 5 checkboxes</t>
        </is>
      </c>
      <c r="C89" s="3" t="inlineStr">
        <is>
          <t>PASS</t>
        </is>
      </c>
      <c r="D89" s="2" t="inlineStr">
        <is>
          <t>Low</t>
        </is>
      </c>
      <c r="E89" s="2" t="inlineStr">
        <is>
          <t>Checkbox count: 5</t>
        </is>
      </c>
    </row>
    <row r="90">
      <c r="A90" s="2" t="inlineStr">
        <is>
          <t>Notion weekly</t>
        </is>
      </c>
      <c r="B90" s="2" t="inlineStr">
        <is>
          <t>Weekly summary has Mon-Sun habit columns</t>
        </is>
      </c>
      <c r="C90" s="3" t="inlineStr">
        <is>
          <t>PASS</t>
        </is>
      </c>
      <c r="D90" s="2" t="inlineStr">
        <is>
          <t>High</t>
        </is>
      </c>
      <c r="E90" s="2" t="inlineStr"/>
    </row>
    <row r="91">
      <c r="A91" s="2" t="inlineStr">
        <is>
          <t>Notion weekly</t>
        </is>
      </c>
      <c r="B91" s="2" t="inlineStr">
        <is>
          <t>Weekly mood table includes average column</t>
        </is>
      </c>
      <c r="C91" s="3" t="inlineStr">
        <is>
          <t>PASS</t>
        </is>
      </c>
      <c r="D91" s="2" t="inlineStr">
        <is>
          <t>Medium</t>
        </is>
      </c>
      <c r="E91" s="2" t="inlineStr"/>
    </row>
    <row r="92">
      <c r="A92" s="2" t="inlineStr">
        <is>
          <t>Cross-version consistency</t>
        </is>
      </c>
      <c r="B92" s="2" t="inlineStr">
        <is>
          <t>No social media habit label matches across Excel and Notion</t>
        </is>
      </c>
      <c r="C92" s="4" t="inlineStr">
        <is>
          <t>WARN</t>
        </is>
      </c>
      <c r="D92" s="2" t="inlineStr">
        <is>
          <t>Low</t>
        </is>
      </c>
      <c r="E92" s="2" t="inlineStr">
        <is>
          <t>Excel uses "No social media 1hr" while Notion uses "No social media 1 hr". Meaning is clear, but marketplace products should use identical copy.</t>
        </is>
      </c>
    </row>
    <row r="93">
      <c r="A93" s="2" t="inlineStr">
        <is>
          <t>Notion monthly</t>
        </is>
      </c>
      <c r="B93" s="2" t="inlineStr">
        <is>
          <t>Monthly dashboard includes Week 1-4 score rows</t>
        </is>
      </c>
      <c r="C93" s="3" t="inlineStr">
        <is>
          <t>PASS</t>
        </is>
      </c>
      <c r="D93" s="2" t="inlineStr">
        <is>
          <t>Low</t>
        </is>
      </c>
      <c r="E93" s="2" t="inlineStr">
        <is>
          <t>Weeks found: ['1', '2', '3', '4']</t>
        </is>
      </c>
    </row>
    <row r="94">
      <c r="A94" s="2" t="inlineStr">
        <is>
          <t>Notion monthly</t>
        </is>
      </c>
      <c r="B94" s="2" t="inlineStr">
        <is>
          <t>Monthly dashboard includes monthly average row</t>
        </is>
      </c>
      <c r="C94" s="3" t="inlineStr">
        <is>
          <t>PASS</t>
        </is>
      </c>
      <c r="D94" s="2" t="inlineStr">
        <is>
          <t>Medium</t>
        </is>
      </c>
      <c r="E94" s="2" t="inlineStr"/>
    </row>
    <row r="95">
      <c r="A95" s="2" t="inlineStr">
        <is>
          <t>Notion monthly</t>
        </is>
      </c>
      <c r="B95" s="2" t="inlineStr">
        <is>
          <t>Potential 5-week month support</t>
        </is>
      </c>
      <c r="C95" s="4" t="inlineStr">
        <is>
          <t>WARN</t>
        </is>
      </c>
      <c r="D95" s="2" t="inlineStr">
        <is>
          <t>Low</t>
        </is>
      </c>
      <c r="E95" s="2" t="inlineStr">
        <is>
          <t>Only Week 1-4 rows are present; many months span 5 calendar weeks. Consider adding Week 5 if the product promises full-month coverage.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61" customWidth="1" min="3" max="3"/>
    <col width="80" customWidth="1" min="4" max="4"/>
  </cols>
  <sheetData>
    <row r="1">
      <c r="A1" s="6" t="inlineStr">
        <is>
          <t>Severity</t>
        </is>
      </c>
      <c r="B1" s="6" t="inlineStr">
        <is>
          <t>Area</t>
        </is>
      </c>
      <c r="C1" s="6" t="inlineStr">
        <is>
          <t>Finding</t>
        </is>
      </c>
      <c r="D1" s="6" t="inlineStr">
        <is>
          <t>Details</t>
        </is>
      </c>
    </row>
    <row r="2">
      <c r="A2" s="2" t="inlineStr">
        <is>
          <t>Medium</t>
        </is>
      </c>
      <c r="B2" s="2" t="inlineStr">
        <is>
          <t>Excel day tabs</t>
        </is>
      </c>
      <c r="C2" s="2" t="inlineStr">
        <is>
          <t>Monday: C3/F3 data validations present</t>
        </is>
      </c>
      <c r="D2" s="2" t="inlineStr">
        <is>
          <t>Monday has no C3/F3 data validations while Tuesday-Sunday do. This also exists in v9/v10 archives, so it was pre-existing.</t>
        </is>
      </c>
    </row>
    <row r="3">
      <c r="A3" s="2" t="inlineStr">
        <is>
          <t>Medium</t>
        </is>
      </c>
      <c r="B3" s="2" t="inlineStr">
        <is>
          <t>Google Sheets archive</t>
        </is>
      </c>
      <c r="C3" s="2" t="inlineStr">
        <is>
          <t>v9 archive reflects unpatched live-sheet structure</t>
        </is>
      </c>
      <c r="D3" s="2" t="inlineStr">
        <is>
          <t>Old wording hits: [('How to Use', 'B21', '  2.  Schedule (6 AM – 9 PM)')]; gratitude states (has4, has5): [('Monday', True, False), ('Tuesday', True, False), ('Wednesday', True, False), ('Thursday', True, False), ('Friday', True, False), ('Saturday', True, False), ('Sunday', True, False)]. Owner still needs to run Apps Script in live Google Sheet.</t>
        </is>
      </c>
    </row>
    <row r="4">
      <c r="A4" s="2" t="inlineStr">
        <is>
          <t>Low</t>
        </is>
      </c>
      <c r="B4" s="2" t="inlineStr">
        <is>
          <t>Cross-version consistency</t>
        </is>
      </c>
      <c r="C4" s="2" t="inlineStr">
        <is>
          <t>No social media habit label matches across Excel and Notion</t>
        </is>
      </c>
      <c r="D4" s="2" t="inlineStr">
        <is>
          <t>Excel uses "No social media 1hr" while Notion uses "No social media 1 hr". Meaning is clear, but marketplace products should use identical copy.</t>
        </is>
      </c>
    </row>
    <row r="5">
      <c r="A5" s="2" t="inlineStr">
        <is>
          <t>Low</t>
        </is>
      </c>
      <c r="B5" s="2" t="inlineStr">
        <is>
          <t>Notion monthly</t>
        </is>
      </c>
      <c r="C5" s="2" t="inlineStr">
        <is>
          <t>Potential 5-week month support</t>
        </is>
      </c>
      <c r="D5" s="2" t="inlineStr">
        <is>
          <t>Only Week 1-4 rows are present; many months span 5 calendar weeks. Consider adding Week 5 if the product promises full-month coverage.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52" customWidth="1" min="4" max="4"/>
    <col width="13" customWidth="1" min="5" max="5"/>
  </cols>
  <sheetData>
    <row r="1">
      <c r="A1" s="6" t="inlineStr">
        <is>
          <t>Day</t>
        </is>
      </c>
      <c r="B1" s="6" t="inlineStr">
        <is>
          <t>GratitudeRange</t>
        </is>
      </c>
      <c r="C1" s="6" t="inlineStr">
        <is>
          <t>Schedule24h</t>
        </is>
      </c>
      <c r="D1" s="6" t="inlineStr">
        <is>
          <t>C3Formula</t>
        </is>
      </c>
      <c r="E1" s="6" t="inlineStr">
        <is>
          <t>Validations</t>
        </is>
      </c>
    </row>
    <row r="2">
      <c r="A2" s="2" t="inlineStr">
        <is>
          <t>Monday</t>
        </is>
      </c>
      <c r="B2" s="2" t="inlineStr">
        <is>
          <t>A48:A52</t>
        </is>
      </c>
      <c r="C2" s="2" t="b">
        <v>1</v>
      </c>
      <c r="D2" s="2">
        <f>'How to Use'!E1 - WEEKDAY('How to Use'!E1, 3)</f>
        <v/>
      </c>
      <c r="E2" s="2" t="inlineStr"/>
    </row>
    <row r="3">
      <c r="A3" s="2" t="inlineStr">
        <is>
          <t>Tuesday</t>
        </is>
      </c>
      <c r="B3" s="2" t="inlineStr">
        <is>
          <t>A48:A52</t>
        </is>
      </c>
      <c r="C3" s="2" t="b">
        <v>1</v>
      </c>
      <c r="D3" s="2">
        <f>'How to Use'!E1 - WEEKDAY('How to Use'!E1, 3) + 1</f>
        <v/>
      </c>
      <c r="E3" s="2" t="inlineStr">
        <is>
          <t>C3, F3</t>
        </is>
      </c>
    </row>
    <row r="4">
      <c r="A4" s="2" t="inlineStr">
        <is>
          <t>Wednesday</t>
        </is>
      </c>
      <c r="B4" s="2" t="inlineStr">
        <is>
          <t>A48:A52</t>
        </is>
      </c>
      <c r="C4" s="2" t="b">
        <v>1</v>
      </c>
      <c r="D4" s="2">
        <f>'How to Use'!E1 - WEEKDAY('How to Use'!E1, 3) + 2</f>
        <v/>
      </c>
      <c r="E4" s="2" t="inlineStr">
        <is>
          <t>C3, F3</t>
        </is>
      </c>
    </row>
    <row r="5">
      <c r="A5" s="2" t="inlineStr">
        <is>
          <t>Thursday</t>
        </is>
      </c>
      <c r="B5" s="2" t="inlineStr">
        <is>
          <t>A48:A52</t>
        </is>
      </c>
      <c r="C5" s="2" t="b">
        <v>1</v>
      </c>
      <c r="D5" s="2">
        <f>'How to Use'!E1 - WEEKDAY('How to Use'!E1, 3) + 3</f>
        <v/>
      </c>
      <c r="E5" s="2" t="inlineStr">
        <is>
          <t>C3, F3</t>
        </is>
      </c>
    </row>
    <row r="6">
      <c r="A6" s="2" t="inlineStr">
        <is>
          <t>Friday</t>
        </is>
      </c>
      <c r="B6" s="2" t="inlineStr">
        <is>
          <t>A48:A52</t>
        </is>
      </c>
      <c r="C6" s="2" t="b">
        <v>1</v>
      </c>
      <c r="D6" s="2">
        <f>'How to Use'!E1 - WEEKDAY('How to Use'!E1, 3) + 4</f>
        <v/>
      </c>
      <c r="E6" s="2" t="inlineStr">
        <is>
          <t>C3, F3</t>
        </is>
      </c>
    </row>
    <row r="7">
      <c r="A7" s="2" t="inlineStr">
        <is>
          <t>Saturday</t>
        </is>
      </c>
      <c r="B7" s="2" t="inlineStr">
        <is>
          <t>A48:A52</t>
        </is>
      </c>
      <c r="C7" s="2" t="b">
        <v>1</v>
      </c>
      <c r="D7" s="2">
        <f>'How to Use'!E1 - WEEKDAY('How to Use'!E1, 3) + 5</f>
        <v/>
      </c>
      <c r="E7" s="2" t="inlineStr">
        <is>
          <t>C3, F3</t>
        </is>
      </c>
    </row>
    <row r="8">
      <c r="A8" s="2" t="inlineStr">
        <is>
          <t>Sunday</t>
        </is>
      </c>
      <c r="B8" s="2" t="inlineStr">
        <is>
          <t>A48:A52</t>
        </is>
      </c>
      <c r="C8" s="2" t="b">
        <v>1</v>
      </c>
      <c r="D8" s="2">
        <f>'How to Use'!E1 - WEEKDAY('How to Use'!E1, 3) + 6</f>
        <v/>
      </c>
      <c r="E8" s="2" t="inlineStr">
        <is>
          <t>C3, F3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2026-06-12T19:10:14Z</dcterms:created>
  <dcterms:modified xmlns:dcterms="http://purl.org/dc/terms/" xmlns:xsi="http://www.w3.org/2001/XMLSchema-instance" xsi:type="dcterms:W3CDTF">2026-06-12T19:10:14Z</dcterms:modified>
</cp:coreProperties>
</file>